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schultz/Desktop/papers/Shell-QCCS/data/Inj/"/>
    </mc:Choice>
  </mc:AlternateContent>
  <xr:revisionPtr revIDLastSave="0" documentId="13_ncr:1_{B9095838-4170-824E-8514-7774CFB330C9}" xr6:coauthVersionLast="47" xr6:coauthVersionMax="47" xr10:uidLastSave="{00000000-0000-0000-0000-000000000000}"/>
  <bookViews>
    <workbookView xWindow="0" yWindow="660" windowWidth="34560" windowHeight="20020" xr2:uid="{BCEDBAE2-6671-414C-840B-26C9AAE37C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1" i="1" l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121" i="1"/>
  <c r="F120" i="1"/>
  <c r="F119" i="1"/>
  <c r="F118" i="1"/>
  <c r="F117" i="1"/>
  <c r="F116" i="1"/>
  <c r="F115" i="1"/>
  <c r="F114" i="1"/>
  <c r="F113" i="1"/>
  <c r="F112" i="1"/>
  <c r="F111" i="1"/>
  <c r="G121" i="1" s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G112" i="1" l="1"/>
  <c r="G113" i="1"/>
  <c r="G114" i="1"/>
  <c r="G115" i="1"/>
  <c r="G116" i="1"/>
  <c r="G117" i="1"/>
  <c r="G118" i="1"/>
  <c r="G119" i="1"/>
  <c r="G120" i="1"/>
</calcChain>
</file>

<file path=xl/sharedStrings.xml><?xml version="1.0" encoding="utf-8"?>
<sst xmlns="http://schemas.openxmlformats.org/spreadsheetml/2006/main" count="127" uniqueCount="19">
  <si>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</si>
  <si>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</si>
  <si>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</si>
  <si>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</si>
  <si>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</si>
  <si>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</si>
  <si>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</si>
  <si>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</si>
  <si>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</si>
  <si>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</si>
  <si>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</si>
  <si>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</si>
  <si>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</si>
  <si>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Year</t>
  </si>
  <si>
    <t>05-35</t>
  </si>
  <si>
    <t>08-19</t>
  </si>
  <si>
    <t>07-11</t>
  </si>
  <si>
    <t>Monthy total (kT)</t>
  </si>
  <si>
    <t>Cumulative total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</si>
</sst>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7" fontId="0" fillId="0" borderId="0" xfId="0" applyNumberFormat="1"/>
    <xf numFmtId="16" fontId="0" fillId="0" borderId="0" xfId="0" applyNumberFormat="1"/>
    <xf numFmtId="49" fontId="0" fillId="0" borderId="0" xfId="0" applyNumberFormat="1"/>
    <xf numFmtId="0" fontId="0" fillId="0" borderId="0" xfId="0" applyAlignment="1">
      <alignment horizontal="right" vertical="center"/>
    </xf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1BF2-7E67-C64E-8CA2-80830C8F6455}">
  <dimension ref="A1:Q121"/>
  <sheetViews>
    <sheetView tabSelected="1" topLeftCell="A91" workbookViewId="0">
      <selection activeCell="D123" sqref="D123"/>
    </sheetView>
  </sheetViews>
  <sheetFormatPr baseColWidth="10" defaultRowHeight="16" x14ac:dyDescent="0.2"/>
  <cols>
    <col min="6" max="6" width="14.6640625" bestFit="1" customWidth="1"/>
    <col min="7" max="7" width="18.83203125" bestFit="1" customWidth="1"/>
  </cols>
  <sheetData>
    <row r="1" spans="1:17" x14ac:dyDescent="0.2">
      <c r="A1" s="1" t="s">
        <v>13</v>
      </c>
      <c r="B1" s="1" t="s">
        <v>12</v>
      </c>
      <c r="C1" s="2" t="s">
        <v>14</v>
      </c>
      <c r="D1" s="2" t="s">
        <v>15</v>
      </c>
      <c r="E1" s="2" t="s">
        <v>16</v>
      </c>
      <c r="F1" s="2" t="s">
        <v>17</v>
      </c>
      <c r="G1" s="1" t="s">
        <v>18</v>
      </c>
      <c r="K1" s="6"/>
      <c r="L1" s="6"/>
      <c r="M1" s="6"/>
      <c r="N1" s="6"/>
      <c r="O1" s="6"/>
      <c r="P1" s="6"/>
      <c r="Q1" s="6"/>
    </row>
    <row r="2" spans="1:17" x14ac:dyDescent="0.2">
      <c r="A2" s="1">
        <v>2015</v>
      </c>
      <c r="B2" s="3" t="s">
        <v>0</v>
      </c>
      <c r="C2" s="1">
        <v>0</v>
      </c>
      <c r="D2" s="1">
        <v>0</v>
      </c>
      <c r="E2" s="1">
        <v>0</v>
      </c>
      <c r="F2">
        <f t="shared" ref="F2:F33" si="0">SUM(C2:E2)</f>
        <v>0</v>
      </c>
      <c r="G2" s="8">
        <f>SUM($F$2:F2)/1000</f>
        <v>0</v>
      </c>
      <c r="K2" s="6"/>
      <c r="L2" s="6"/>
      <c r="M2" s="6"/>
      <c r="N2" s="6"/>
      <c r="O2" s="6"/>
      <c r="P2" s="6"/>
      <c r="Q2" s="6"/>
    </row>
    <row r="3" spans="1:17" x14ac:dyDescent="0.2">
      <c r="A3" s="1">
        <v>2015</v>
      </c>
      <c r="B3" s="3" t="s">
        <v>1</v>
      </c>
      <c r="C3" s="1">
        <v>0</v>
      </c>
      <c r="D3" s="1">
        <v>0</v>
      </c>
      <c r="E3" s="1">
        <v>0</v>
      </c>
      <c r="F3">
        <f t="shared" si="0"/>
        <v>0</v>
      </c>
      <c r="G3" s="8">
        <f>SUM($F$2:F3)/1000</f>
        <v>0</v>
      </c>
    </row>
    <row r="4" spans="1:17" x14ac:dyDescent="0.2">
      <c r="A4" s="1">
        <v>2015</v>
      </c>
      <c r="B4" s="3" t="s">
        <v>2</v>
      </c>
      <c r="C4" s="1">
        <v>0</v>
      </c>
      <c r="D4" s="1">
        <v>0</v>
      </c>
      <c r="E4" s="1">
        <v>0</v>
      </c>
      <c r="F4">
        <f t="shared" si="0"/>
        <v>0</v>
      </c>
      <c r="G4" s="8">
        <f>SUM($F$2:F4)/1000</f>
        <v>0</v>
      </c>
    </row>
    <row r="5" spans="1:17" x14ac:dyDescent="0.2">
      <c r="A5" s="1">
        <v>2015</v>
      </c>
      <c r="B5" s="3" t="s">
        <v>3</v>
      </c>
      <c r="C5" s="1">
        <v>0</v>
      </c>
      <c r="D5" s="1">
        <v>0</v>
      </c>
      <c r="E5" s="1">
        <v>0</v>
      </c>
      <c r="F5">
        <f t="shared" si="0"/>
        <v>0</v>
      </c>
      <c r="G5" s="8">
        <f>SUM($F$2:F5)/1000</f>
        <v>0</v>
      </c>
    </row>
    <row r="6" spans="1:17" x14ac:dyDescent="0.2">
      <c r="A6" s="1">
        <v>2015</v>
      </c>
      <c r="B6" s="3" t="s">
        <v>4</v>
      </c>
      <c r="C6" s="1">
        <v>0</v>
      </c>
      <c r="D6" s="1">
        <v>0</v>
      </c>
      <c r="E6" s="1">
        <v>0</v>
      </c>
      <c r="F6">
        <f t="shared" si="0"/>
        <v>0</v>
      </c>
      <c r="G6" s="8">
        <f>SUM($F$2:F6)/1000</f>
        <v>0</v>
      </c>
    </row>
    <row r="7" spans="1:17" x14ac:dyDescent="0.2">
      <c r="A7" s="1">
        <v>2015</v>
      </c>
      <c r="B7" s="3" t="s">
        <v>5</v>
      </c>
      <c r="C7" s="1">
        <v>0</v>
      </c>
      <c r="D7" s="1">
        <v>0</v>
      </c>
      <c r="E7" s="1">
        <v>0</v>
      </c>
      <c r="F7">
        <f t="shared" si="0"/>
        <v>0</v>
      </c>
      <c r="G7" s="8">
        <f>SUM($F$2:F7)/1000</f>
        <v>0</v>
      </c>
    </row>
    <row r="8" spans="1:17" x14ac:dyDescent="0.2">
      <c r="A8" s="1">
        <v>2015</v>
      </c>
      <c r="B8" s="3" t="s">
        <v>6</v>
      </c>
      <c r="C8" s="1">
        <v>0</v>
      </c>
      <c r="D8" s="1">
        <v>0</v>
      </c>
      <c r="E8" s="1">
        <v>0</v>
      </c>
      <c r="F8">
        <f t="shared" si="0"/>
        <v>0</v>
      </c>
      <c r="G8" s="8">
        <f>SUM($F$2:F8)/1000</f>
        <v>0</v>
      </c>
    </row>
    <row r="9" spans="1:17" x14ac:dyDescent="0.2">
      <c r="A9" s="1">
        <v>2015</v>
      </c>
      <c r="B9" s="3" t="s">
        <v>7</v>
      </c>
      <c r="C9" s="1">
        <v>0</v>
      </c>
      <c r="D9" s="1">
        <v>13</v>
      </c>
      <c r="E9" s="1">
        <v>9</v>
      </c>
      <c r="F9">
        <f t="shared" si="0"/>
        <v>22</v>
      </c>
      <c r="G9" s="8">
        <f>SUM($F$2:F9)/1000</f>
        <v>2.1999999999999999E-2</v>
      </c>
    </row>
    <row r="10" spans="1:17" x14ac:dyDescent="0.2">
      <c r="A10" s="1">
        <v>2015</v>
      </c>
      <c r="B10" s="3" t="s">
        <v>8</v>
      </c>
      <c r="C10" s="1">
        <v>0</v>
      </c>
      <c r="D10" s="1">
        <v>50</v>
      </c>
      <c r="E10" s="1">
        <v>44</v>
      </c>
      <c r="F10">
        <f t="shared" si="0"/>
        <v>94</v>
      </c>
      <c r="G10" s="8">
        <f>SUM($F$2:F10)/1000</f>
        <v>0.11600000000000001</v>
      </c>
    </row>
    <row r="11" spans="1:17" x14ac:dyDescent="0.2">
      <c r="A11" s="1">
        <v>2015</v>
      </c>
      <c r="B11" s="3" t="s">
        <v>9</v>
      </c>
      <c r="C11" s="1">
        <v>0</v>
      </c>
      <c r="D11" s="1">
        <v>51</v>
      </c>
      <c r="E11" s="1">
        <v>33</v>
      </c>
      <c r="F11">
        <f t="shared" si="0"/>
        <v>84</v>
      </c>
      <c r="G11" s="8">
        <f>SUM($F$2:F11)/1000</f>
        <v>0.2</v>
      </c>
    </row>
    <row r="12" spans="1:17" x14ac:dyDescent="0.2">
      <c r="A12" s="1">
        <v>2015</v>
      </c>
      <c r="B12" s="3" t="s">
        <v>10</v>
      </c>
      <c r="C12" s="1">
        <v>0</v>
      </c>
      <c r="D12" s="1">
        <v>45</v>
      </c>
      <c r="E12" s="1">
        <v>26</v>
      </c>
      <c r="F12">
        <f t="shared" si="0"/>
        <v>71</v>
      </c>
      <c r="G12" s="8">
        <f>SUM($F$2:F12)/1000</f>
        <v>0.27100000000000002</v>
      </c>
    </row>
    <row r="13" spans="1:17" x14ac:dyDescent="0.2">
      <c r="A13" s="1">
        <v>2015</v>
      </c>
      <c r="B13" s="3" t="s">
        <v>11</v>
      </c>
      <c r="C13" s="1">
        <v>0</v>
      </c>
      <c r="D13" s="1">
        <v>52</v>
      </c>
      <c r="E13" s="1">
        <v>48</v>
      </c>
      <c r="F13">
        <f t="shared" si="0"/>
        <v>100</v>
      </c>
      <c r="G13" s="8">
        <f>SUM($F$2:F13)/1000</f>
        <v>0.371</v>
      </c>
    </row>
    <row r="14" spans="1:17" x14ac:dyDescent="0.2">
      <c r="A14" s="1">
        <v>2016</v>
      </c>
      <c r="B14" s="3" t="s">
        <v>0</v>
      </c>
      <c r="C14" s="1">
        <v>0</v>
      </c>
      <c r="D14" s="1">
        <v>52</v>
      </c>
      <c r="E14" s="1">
        <v>50</v>
      </c>
      <c r="F14">
        <f t="shared" si="0"/>
        <v>102</v>
      </c>
      <c r="G14" s="8">
        <f>SUM($F$2:F14)/1000</f>
        <v>0.47299999999999998</v>
      </c>
    </row>
    <row r="15" spans="1:17" x14ac:dyDescent="0.2">
      <c r="A15" s="1">
        <v>2016</v>
      </c>
      <c r="B15" s="3" t="s">
        <v>1</v>
      </c>
      <c r="C15" s="1">
        <v>0</v>
      </c>
      <c r="D15" s="1">
        <v>49</v>
      </c>
      <c r="E15" s="1">
        <v>41</v>
      </c>
      <c r="F15">
        <f t="shared" si="0"/>
        <v>90</v>
      </c>
      <c r="G15" s="8">
        <f>SUM($F$2:F15)/1000</f>
        <v>0.56299999999999994</v>
      </c>
    </row>
    <row r="16" spans="1:17" x14ac:dyDescent="0.2">
      <c r="A16" s="1">
        <v>2016</v>
      </c>
      <c r="B16" s="3" t="s">
        <v>2</v>
      </c>
      <c r="C16" s="1">
        <v>0</v>
      </c>
      <c r="D16" s="1">
        <v>52</v>
      </c>
      <c r="E16" s="1">
        <v>29</v>
      </c>
      <c r="F16">
        <f t="shared" si="0"/>
        <v>81</v>
      </c>
      <c r="G16" s="8">
        <f>SUM($F$2:F16)/1000</f>
        <v>0.64400000000000002</v>
      </c>
    </row>
    <row r="17" spans="1:12" x14ac:dyDescent="0.2">
      <c r="A17" s="1">
        <v>2016</v>
      </c>
      <c r="B17" s="3" t="s">
        <v>3</v>
      </c>
      <c r="C17" s="1">
        <v>0</v>
      </c>
      <c r="D17" s="1">
        <v>28</v>
      </c>
      <c r="E17" s="1">
        <v>24</v>
      </c>
      <c r="F17">
        <f t="shared" si="0"/>
        <v>52</v>
      </c>
      <c r="G17" s="8">
        <f>SUM($F$2:F17)/1000</f>
        <v>0.69599999999999995</v>
      </c>
    </row>
    <row r="18" spans="1:12" x14ac:dyDescent="0.2">
      <c r="A18" s="1">
        <v>2016</v>
      </c>
      <c r="B18" s="3" t="s">
        <v>4</v>
      </c>
      <c r="C18" s="1">
        <v>0</v>
      </c>
      <c r="D18" s="1">
        <v>29</v>
      </c>
      <c r="E18" s="1">
        <v>47</v>
      </c>
      <c r="F18">
        <f t="shared" si="0"/>
        <v>76</v>
      </c>
      <c r="G18" s="8">
        <f>SUM($F$2:F18)/1000</f>
        <v>0.77200000000000002</v>
      </c>
      <c r="J18" s="4"/>
      <c r="K18" s="4"/>
      <c r="L18" s="5"/>
    </row>
    <row r="19" spans="1:12" x14ac:dyDescent="0.2">
      <c r="A19" s="1">
        <v>2016</v>
      </c>
      <c r="B19" s="3" t="s">
        <v>5</v>
      </c>
      <c r="C19" s="1">
        <v>0</v>
      </c>
      <c r="D19" s="1">
        <v>50</v>
      </c>
      <c r="E19" s="1">
        <v>51</v>
      </c>
      <c r="F19">
        <f t="shared" si="0"/>
        <v>101</v>
      </c>
      <c r="G19" s="8">
        <f>SUM($F$2:F19)/1000</f>
        <v>0.873</v>
      </c>
    </row>
    <row r="20" spans="1:12" x14ac:dyDescent="0.2">
      <c r="A20" s="1">
        <v>2016</v>
      </c>
      <c r="B20" s="3" t="s">
        <v>6</v>
      </c>
      <c r="C20" s="1">
        <v>0</v>
      </c>
      <c r="D20" s="1">
        <v>50</v>
      </c>
      <c r="E20" s="1">
        <v>52</v>
      </c>
      <c r="F20">
        <f t="shared" si="0"/>
        <v>102</v>
      </c>
      <c r="G20" s="8">
        <f>SUM($F$2:F20)/1000</f>
        <v>0.97499999999999998</v>
      </c>
      <c r="K20" s="4"/>
    </row>
    <row r="21" spans="1:12" x14ac:dyDescent="0.2">
      <c r="A21" s="1">
        <v>2016</v>
      </c>
      <c r="B21" s="3" t="s">
        <v>7</v>
      </c>
      <c r="C21" s="1">
        <v>0</v>
      </c>
      <c r="D21" s="1">
        <v>52</v>
      </c>
      <c r="E21" s="1">
        <v>54</v>
      </c>
      <c r="F21">
        <f t="shared" si="0"/>
        <v>106</v>
      </c>
      <c r="G21" s="8">
        <f>SUM($F$2:F21)/1000</f>
        <v>1.081</v>
      </c>
      <c r="K21" s="4"/>
    </row>
    <row r="22" spans="1:12" x14ac:dyDescent="0.2">
      <c r="A22" s="1">
        <v>2016</v>
      </c>
      <c r="B22" s="3" t="s">
        <v>8</v>
      </c>
      <c r="C22" s="1">
        <v>0</v>
      </c>
      <c r="D22" s="1">
        <v>52</v>
      </c>
      <c r="E22" s="1">
        <v>53</v>
      </c>
      <c r="F22">
        <f t="shared" si="0"/>
        <v>105</v>
      </c>
      <c r="G22" s="8">
        <f>SUM($F$2:F22)/1000</f>
        <v>1.1859999999999999</v>
      </c>
      <c r="K22" s="4"/>
    </row>
    <row r="23" spans="1:12" x14ac:dyDescent="0.2">
      <c r="A23" s="1">
        <v>2016</v>
      </c>
      <c r="B23" s="3" t="s">
        <v>9</v>
      </c>
      <c r="C23" s="1">
        <v>0</v>
      </c>
      <c r="D23" s="1">
        <v>53</v>
      </c>
      <c r="E23" s="1">
        <v>40</v>
      </c>
      <c r="F23">
        <f t="shared" si="0"/>
        <v>93</v>
      </c>
      <c r="G23" s="8">
        <f>SUM($F$2:F23)/1000</f>
        <v>1.2789999999999999</v>
      </c>
      <c r="K23" s="4"/>
    </row>
    <row r="24" spans="1:12" x14ac:dyDescent="0.2">
      <c r="A24" s="1">
        <v>2016</v>
      </c>
      <c r="B24" s="3" t="s">
        <v>10</v>
      </c>
      <c r="C24" s="1">
        <v>0</v>
      </c>
      <c r="D24" s="1">
        <v>53</v>
      </c>
      <c r="E24" s="1">
        <v>54</v>
      </c>
      <c r="F24">
        <f t="shared" si="0"/>
        <v>107</v>
      </c>
      <c r="G24" s="8">
        <f>SUM($F$2:F24)/1000</f>
        <v>1.3859999999999999</v>
      </c>
      <c r="K24" s="4"/>
    </row>
    <row r="25" spans="1:12" x14ac:dyDescent="0.2">
      <c r="A25" s="1">
        <v>2016</v>
      </c>
      <c r="B25" s="3" t="s">
        <v>11</v>
      </c>
      <c r="C25" s="1">
        <v>0</v>
      </c>
      <c r="D25" s="1">
        <v>48</v>
      </c>
      <c r="E25" s="1">
        <v>44</v>
      </c>
      <c r="F25">
        <f t="shared" si="0"/>
        <v>92</v>
      </c>
      <c r="G25" s="8">
        <f>SUM($F$2:F25)/1000</f>
        <v>1.478</v>
      </c>
      <c r="K25" s="4"/>
    </row>
    <row r="26" spans="1:12" x14ac:dyDescent="0.2">
      <c r="A26" s="1">
        <v>2017</v>
      </c>
      <c r="B26" s="3" t="s">
        <v>0</v>
      </c>
      <c r="C26" s="1">
        <v>0</v>
      </c>
      <c r="D26" s="1">
        <v>56</v>
      </c>
      <c r="E26" s="1">
        <v>54</v>
      </c>
      <c r="F26">
        <f t="shared" si="0"/>
        <v>110</v>
      </c>
      <c r="G26" s="8">
        <f>SUM($F$2:F26)/1000</f>
        <v>1.5880000000000001</v>
      </c>
      <c r="K26" s="4"/>
    </row>
    <row r="27" spans="1:12" x14ac:dyDescent="0.2">
      <c r="A27" s="1">
        <v>2017</v>
      </c>
      <c r="B27" s="3" t="s">
        <v>1</v>
      </c>
      <c r="C27" s="1">
        <v>0</v>
      </c>
      <c r="D27" s="1">
        <v>49</v>
      </c>
      <c r="E27" s="1">
        <v>48</v>
      </c>
      <c r="F27">
        <f t="shared" si="0"/>
        <v>97</v>
      </c>
      <c r="G27" s="8">
        <f>SUM($F$2:F27)/1000</f>
        <v>1.6850000000000001</v>
      </c>
      <c r="K27" s="4"/>
    </row>
    <row r="28" spans="1:12" x14ac:dyDescent="0.2">
      <c r="A28" s="1">
        <v>2017</v>
      </c>
      <c r="B28" s="3" t="s">
        <v>2</v>
      </c>
      <c r="C28" s="1">
        <v>0</v>
      </c>
      <c r="D28" s="1">
        <v>56</v>
      </c>
      <c r="E28" s="1">
        <v>54</v>
      </c>
      <c r="F28">
        <f t="shared" si="0"/>
        <v>110</v>
      </c>
      <c r="G28" s="8">
        <f>SUM($F$2:F28)/1000</f>
        <v>1.7949999999999999</v>
      </c>
      <c r="K28" s="4"/>
    </row>
    <row r="29" spans="1:12" x14ac:dyDescent="0.2">
      <c r="A29" s="1">
        <v>2017</v>
      </c>
      <c r="B29" s="3" t="s">
        <v>3</v>
      </c>
      <c r="C29" s="1">
        <v>0</v>
      </c>
      <c r="D29" s="1">
        <v>54</v>
      </c>
      <c r="E29" s="1">
        <v>45</v>
      </c>
      <c r="F29">
        <f t="shared" si="0"/>
        <v>99</v>
      </c>
      <c r="G29" s="8">
        <f>SUM($F$2:F29)/1000</f>
        <v>1.8939999999999999</v>
      </c>
      <c r="K29" s="4"/>
    </row>
    <row r="30" spans="1:12" x14ac:dyDescent="0.2">
      <c r="A30" s="1">
        <v>2017</v>
      </c>
      <c r="B30" s="3" t="s">
        <v>4</v>
      </c>
      <c r="C30" s="1">
        <v>0</v>
      </c>
      <c r="D30" s="1">
        <v>37</v>
      </c>
      <c r="E30" s="1">
        <v>40</v>
      </c>
      <c r="F30">
        <f t="shared" si="0"/>
        <v>77</v>
      </c>
      <c r="G30" s="8">
        <f>SUM($F$2:F30)/1000</f>
        <v>1.9710000000000001</v>
      </c>
      <c r="K30" s="4"/>
    </row>
    <row r="31" spans="1:12" x14ac:dyDescent="0.2">
      <c r="A31" s="1">
        <v>2017</v>
      </c>
      <c r="B31" s="3" t="s">
        <v>5</v>
      </c>
      <c r="C31" s="1">
        <v>0</v>
      </c>
      <c r="D31" s="1">
        <v>32</v>
      </c>
      <c r="E31" s="1">
        <v>53</v>
      </c>
      <c r="F31">
        <f t="shared" si="0"/>
        <v>85</v>
      </c>
      <c r="G31" s="8">
        <f>SUM($F$2:F31)/1000</f>
        <v>2.056</v>
      </c>
      <c r="K31" s="4"/>
    </row>
    <row r="32" spans="1:12" x14ac:dyDescent="0.2">
      <c r="A32" s="1">
        <v>2017</v>
      </c>
      <c r="B32" s="3" t="s">
        <v>6</v>
      </c>
      <c r="C32" s="1">
        <v>0</v>
      </c>
      <c r="D32" s="1">
        <v>39</v>
      </c>
      <c r="E32" s="1">
        <v>37</v>
      </c>
      <c r="F32">
        <f t="shared" si="0"/>
        <v>76</v>
      </c>
      <c r="G32" s="8">
        <f>SUM($F$2:F32)/1000</f>
        <v>2.1320000000000001</v>
      </c>
    </row>
    <row r="33" spans="1:16" x14ac:dyDescent="0.2">
      <c r="A33" s="1">
        <v>2017</v>
      </c>
      <c r="B33" s="3" t="s">
        <v>7</v>
      </c>
      <c r="C33" s="1">
        <v>0</v>
      </c>
      <c r="D33" s="1">
        <v>54</v>
      </c>
      <c r="E33" s="1">
        <v>54</v>
      </c>
      <c r="F33">
        <f t="shared" si="0"/>
        <v>108</v>
      </c>
      <c r="G33" s="8">
        <f>SUM($F$2:F33)/1000</f>
        <v>2.2400000000000002</v>
      </c>
    </row>
    <row r="34" spans="1:16" x14ac:dyDescent="0.2">
      <c r="A34" s="1">
        <v>2017</v>
      </c>
      <c r="B34" s="3" t="s">
        <v>8</v>
      </c>
      <c r="C34" s="1">
        <v>0</v>
      </c>
      <c r="D34" s="1">
        <v>52</v>
      </c>
      <c r="E34" s="1">
        <v>48</v>
      </c>
      <c r="F34">
        <f t="shared" ref="F34:F65" si="1">SUM(C34:E34)</f>
        <v>100</v>
      </c>
      <c r="G34" s="8">
        <f>SUM($F$2:F34)/1000</f>
        <v>2.34</v>
      </c>
    </row>
    <row r="35" spans="1:16" x14ac:dyDescent="0.2">
      <c r="A35" s="1">
        <v>2017</v>
      </c>
      <c r="B35" s="3" t="s">
        <v>9</v>
      </c>
      <c r="C35" s="1">
        <v>0</v>
      </c>
      <c r="D35" s="1">
        <v>51</v>
      </c>
      <c r="E35" s="1">
        <v>37</v>
      </c>
      <c r="F35">
        <f t="shared" si="1"/>
        <v>88</v>
      </c>
      <c r="G35" s="8">
        <f>SUM($F$2:F35)/1000</f>
        <v>2.4279999999999999</v>
      </c>
    </row>
    <row r="36" spans="1:16" x14ac:dyDescent="0.2">
      <c r="A36" s="1">
        <v>2017</v>
      </c>
      <c r="B36" s="3" t="s">
        <v>10</v>
      </c>
      <c r="C36" s="1">
        <v>0</v>
      </c>
      <c r="D36" s="1">
        <v>53</v>
      </c>
      <c r="E36" s="1">
        <v>38</v>
      </c>
      <c r="F36">
        <f t="shared" si="1"/>
        <v>91</v>
      </c>
      <c r="G36" s="8">
        <f>SUM($F$2:F36)/1000</f>
        <v>2.5190000000000001</v>
      </c>
      <c r="N36" s="4"/>
    </row>
    <row r="37" spans="1:16" x14ac:dyDescent="0.2">
      <c r="A37" s="1">
        <v>2017</v>
      </c>
      <c r="B37" s="3" t="s">
        <v>11</v>
      </c>
      <c r="C37" s="1">
        <v>0</v>
      </c>
      <c r="D37" s="1">
        <v>55</v>
      </c>
      <c r="E37" s="1">
        <v>40</v>
      </c>
      <c r="F37">
        <f t="shared" si="1"/>
        <v>95</v>
      </c>
      <c r="G37" s="8">
        <f>SUM($F$2:F37)/1000</f>
        <v>2.6139999999999999</v>
      </c>
      <c r="N37" s="4"/>
    </row>
    <row r="38" spans="1:16" x14ac:dyDescent="0.2">
      <c r="A38" s="1">
        <v>2018</v>
      </c>
      <c r="B38" s="3" t="s">
        <v>0</v>
      </c>
      <c r="C38" s="1">
        <v>0</v>
      </c>
      <c r="D38" s="1">
        <v>55</v>
      </c>
      <c r="E38" s="1">
        <v>31</v>
      </c>
      <c r="F38">
        <f t="shared" si="1"/>
        <v>86</v>
      </c>
      <c r="G38" s="8">
        <f>SUM($F$2:F38)/1000</f>
        <v>2.7</v>
      </c>
      <c r="L38" s="9"/>
      <c r="M38" s="9"/>
      <c r="N38" s="9"/>
      <c r="O38" s="9"/>
      <c r="P38" s="9"/>
    </row>
    <row r="39" spans="1:16" x14ac:dyDescent="0.2">
      <c r="A39" s="1">
        <v>2018</v>
      </c>
      <c r="B39" s="3" t="s">
        <v>1</v>
      </c>
      <c r="C39" s="1">
        <v>0</v>
      </c>
      <c r="D39" s="1">
        <v>48</v>
      </c>
      <c r="E39" s="1">
        <v>39</v>
      </c>
      <c r="F39">
        <f t="shared" si="1"/>
        <v>87</v>
      </c>
      <c r="G39" s="8">
        <f>SUM($F$2:F39)/1000</f>
        <v>2.7869999999999999</v>
      </c>
      <c r="L39" s="9"/>
      <c r="M39" s="9"/>
      <c r="N39" s="9"/>
      <c r="O39" s="9"/>
      <c r="P39" s="9"/>
    </row>
    <row r="40" spans="1:16" x14ac:dyDescent="0.2">
      <c r="A40" s="1">
        <v>2018</v>
      </c>
      <c r="B40" s="3" t="s">
        <v>2</v>
      </c>
      <c r="C40" s="1">
        <v>0</v>
      </c>
      <c r="D40" s="1">
        <v>52</v>
      </c>
      <c r="E40" s="1">
        <v>39</v>
      </c>
      <c r="F40">
        <f t="shared" si="1"/>
        <v>91</v>
      </c>
      <c r="G40" s="8">
        <f>SUM($F$2:F40)/1000</f>
        <v>2.8780000000000001</v>
      </c>
      <c r="L40" s="9"/>
      <c r="M40" s="9"/>
      <c r="N40" s="9"/>
      <c r="O40" s="9"/>
      <c r="P40" s="9"/>
    </row>
    <row r="41" spans="1:16" x14ac:dyDescent="0.2">
      <c r="A41" s="1">
        <v>2018</v>
      </c>
      <c r="B41" s="3" t="s">
        <v>3</v>
      </c>
      <c r="C41" s="1">
        <v>0</v>
      </c>
      <c r="D41" s="1">
        <v>59</v>
      </c>
      <c r="E41" s="1">
        <v>2</v>
      </c>
      <c r="F41">
        <f t="shared" si="1"/>
        <v>61</v>
      </c>
      <c r="G41" s="8">
        <f>SUM($F$2:F41)/1000</f>
        <v>2.9390000000000001</v>
      </c>
      <c r="L41" s="9"/>
      <c r="M41" s="9"/>
      <c r="N41" s="9"/>
      <c r="O41" s="9"/>
      <c r="P41" s="9"/>
    </row>
    <row r="42" spans="1:16" x14ac:dyDescent="0.2">
      <c r="A42" s="1">
        <v>2018</v>
      </c>
      <c r="B42" s="3" t="s">
        <v>4</v>
      </c>
      <c r="C42" s="1">
        <v>0</v>
      </c>
      <c r="D42" s="1">
        <v>48</v>
      </c>
      <c r="E42" s="1">
        <v>13</v>
      </c>
      <c r="F42">
        <f t="shared" si="1"/>
        <v>61</v>
      </c>
      <c r="G42" s="8">
        <f>SUM($F$2:F42)/1000</f>
        <v>3</v>
      </c>
      <c r="L42" s="9"/>
      <c r="M42" s="9"/>
      <c r="N42" s="9"/>
      <c r="O42" s="9"/>
      <c r="P42" s="9"/>
    </row>
    <row r="43" spans="1:16" x14ac:dyDescent="0.2">
      <c r="A43" s="1">
        <v>2018</v>
      </c>
      <c r="B43" s="3" t="s">
        <v>5</v>
      </c>
      <c r="C43" s="1">
        <v>0</v>
      </c>
      <c r="D43" s="1">
        <v>48</v>
      </c>
      <c r="E43" s="1">
        <v>52</v>
      </c>
      <c r="F43">
        <f t="shared" si="1"/>
        <v>100</v>
      </c>
      <c r="G43" s="8">
        <f>SUM($F$2:F43)/1000</f>
        <v>3.1</v>
      </c>
      <c r="L43" s="9"/>
      <c r="M43" s="9"/>
      <c r="N43" s="9"/>
      <c r="O43" s="9"/>
      <c r="P43" s="9"/>
    </row>
    <row r="44" spans="1:16" x14ac:dyDescent="0.2">
      <c r="A44" s="1">
        <v>2018</v>
      </c>
      <c r="B44" s="3" t="s">
        <v>6</v>
      </c>
      <c r="C44" s="1">
        <v>0</v>
      </c>
      <c r="D44" s="1">
        <v>51</v>
      </c>
      <c r="E44" s="1">
        <v>52</v>
      </c>
      <c r="F44">
        <f t="shared" si="1"/>
        <v>103</v>
      </c>
      <c r="G44" s="8">
        <f>SUM($F$2:F44)/1000</f>
        <v>3.2029999999999998</v>
      </c>
      <c r="K44" s="4"/>
      <c r="L44" s="9"/>
      <c r="M44" s="9"/>
      <c r="N44" s="9"/>
      <c r="O44" s="9"/>
      <c r="P44" s="9"/>
    </row>
    <row r="45" spans="1:16" x14ac:dyDescent="0.2">
      <c r="A45" s="1">
        <v>2018</v>
      </c>
      <c r="B45" s="3" t="s">
        <v>7</v>
      </c>
      <c r="C45" s="1">
        <v>0</v>
      </c>
      <c r="D45" s="1">
        <v>49</v>
      </c>
      <c r="E45" s="1">
        <v>56</v>
      </c>
      <c r="F45">
        <f t="shared" si="1"/>
        <v>105</v>
      </c>
      <c r="G45" s="8">
        <f>SUM($F$2:F45)/1000</f>
        <v>3.3079999999999998</v>
      </c>
      <c r="K45" s="4"/>
      <c r="L45" s="9"/>
      <c r="M45" s="9"/>
      <c r="N45" s="9"/>
      <c r="O45" s="9"/>
      <c r="P45" s="9"/>
    </row>
    <row r="46" spans="1:16" x14ac:dyDescent="0.2">
      <c r="A46" s="1">
        <v>2018</v>
      </c>
      <c r="B46" s="3" t="s">
        <v>8</v>
      </c>
      <c r="C46" s="1">
        <v>0</v>
      </c>
      <c r="D46" s="1">
        <v>39</v>
      </c>
      <c r="E46" s="1">
        <v>51</v>
      </c>
      <c r="F46">
        <f t="shared" si="1"/>
        <v>90</v>
      </c>
      <c r="G46" s="8">
        <f>SUM($F$2:F46)/1000</f>
        <v>3.3980000000000001</v>
      </c>
      <c r="K46" s="4"/>
      <c r="L46" s="9"/>
      <c r="M46" s="9"/>
      <c r="N46" s="9"/>
      <c r="O46" s="9"/>
      <c r="P46" s="9"/>
    </row>
    <row r="47" spans="1:16" x14ac:dyDescent="0.2">
      <c r="A47" s="1">
        <v>2018</v>
      </c>
      <c r="B47" s="3" t="s">
        <v>9</v>
      </c>
      <c r="C47" s="1">
        <v>16</v>
      </c>
      <c r="D47" s="1">
        <v>8</v>
      </c>
      <c r="E47" s="1">
        <v>52</v>
      </c>
      <c r="F47">
        <f t="shared" si="1"/>
        <v>76</v>
      </c>
      <c r="G47" s="8">
        <f>SUM($F$2:F47)/1000</f>
        <v>3.4740000000000002</v>
      </c>
      <c r="K47" s="4"/>
      <c r="L47" s="9"/>
      <c r="M47" s="9"/>
      <c r="N47" s="9"/>
      <c r="O47" s="9"/>
      <c r="P47" s="9"/>
    </row>
    <row r="48" spans="1:16" x14ac:dyDescent="0.2">
      <c r="A48" s="1">
        <v>2018</v>
      </c>
      <c r="B48" s="3" t="s">
        <v>10</v>
      </c>
      <c r="C48" s="1">
        <v>38</v>
      </c>
      <c r="D48" s="1">
        <v>24</v>
      </c>
      <c r="E48" s="1">
        <v>39</v>
      </c>
      <c r="F48">
        <f t="shared" si="1"/>
        <v>101</v>
      </c>
      <c r="G48" s="8">
        <f>SUM($F$2:F48)/1000</f>
        <v>3.5750000000000002</v>
      </c>
      <c r="K48" s="4"/>
      <c r="L48" s="9"/>
      <c r="M48" s="9"/>
      <c r="N48" s="9"/>
      <c r="O48" s="9"/>
      <c r="P48" s="9"/>
    </row>
    <row r="49" spans="1:16" x14ac:dyDescent="0.2">
      <c r="A49" s="1">
        <v>2018</v>
      </c>
      <c r="B49" s="3" t="s">
        <v>11</v>
      </c>
      <c r="C49" s="1">
        <v>36</v>
      </c>
      <c r="D49" s="1">
        <v>31</v>
      </c>
      <c r="E49" s="1">
        <v>37</v>
      </c>
      <c r="F49">
        <f t="shared" si="1"/>
        <v>104</v>
      </c>
      <c r="G49" s="8">
        <f>SUM($F$2:F49)/1000</f>
        <v>3.6789999999999998</v>
      </c>
      <c r="K49" s="4"/>
      <c r="L49" s="9"/>
      <c r="M49" s="9"/>
      <c r="N49" s="9"/>
      <c r="O49" s="9"/>
      <c r="P49" s="9"/>
    </row>
    <row r="50" spans="1:16" x14ac:dyDescent="0.2">
      <c r="A50" s="1">
        <v>2019</v>
      </c>
      <c r="B50" s="3" t="s">
        <v>0</v>
      </c>
      <c r="C50" s="10">
        <v>14</v>
      </c>
      <c r="D50" s="10">
        <v>33</v>
      </c>
      <c r="E50" s="10">
        <v>39</v>
      </c>
      <c r="F50">
        <f t="shared" si="1"/>
        <v>86</v>
      </c>
      <c r="G50" s="8">
        <f>SUM($F$2:F50)/1000</f>
        <v>3.7650000000000001</v>
      </c>
      <c r="I50" s="9"/>
      <c r="K50" s="4"/>
      <c r="L50" s="9"/>
      <c r="M50" s="9"/>
      <c r="N50" s="9"/>
      <c r="O50" s="9"/>
      <c r="P50" s="9"/>
    </row>
    <row r="51" spans="1:16" x14ac:dyDescent="0.2">
      <c r="A51" s="1">
        <v>2019</v>
      </c>
      <c r="B51" s="3" t="s">
        <v>1</v>
      </c>
      <c r="C51" s="10">
        <v>32</v>
      </c>
      <c r="D51" s="10">
        <v>35</v>
      </c>
      <c r="E51" s="10">
        <v>21</v>
      </c>
      <c r="F51">
        <f t="shared" si="1"/>
        <v>88</v>
      </c>
      <c r="G51" s="8">
        <f>SUM($F$2:F51)/1000</f>
        <v>3.8530000000000002</v>
      </c>
      <c r="I51" s="9"/>
      <c r="K51" s="4"/>
      <c r="L51" s="9"/>
      <c r="M51" s="9"/>
      <c r="N51" s="9"/>
      <c r="O51" s="9"/>
      <c r="P51" s="9"/>
    </row>
    <row r="52" spans="1:16" x14ac:dyDescent="0.2">
      <c r="A52" s="1">
        <v>2019</v>
      </c>
      <c r="B52" s="3" t="s">
        <v>2</v>
      </c>
      <c r="C52" s="10">
        <v>14</v>
      </c>
      <c r="D52" s="10">
        <v>42</v>
      </c>
      <c r="E52" s="10">
        <v>49</v>
      </c>
      <c r="F52">
        <f t="shared" si="1"/>
        <v>105</v>
      </c>
      <c r="G52" s="8">
        <f>SUM($F$2:F52)/1000</f>
        <v>3.9580000000000002</v>
      </c>
      <c r="I52" s="9"/>
      <c r="K52" s="4"/>
      <c r="L52" s="9"/>
      <c r="M52" s="9"/>
      <c r="N52" s="9"/>
      <c r="O52" s="9"/>
      <c r="P52" s="9"/>
    </row>
    <row r="53" spans="1:16" x14ac:dyDescent="0.2">
      <c r="A53" s="1">
        <v>2019</v>
      </c>
      <c r="B53" s="3" t="s">
        <v>3</v>
      </c>
      <c r="C53" s="10">
        <v>1</v>
      </c>
      <c r="D53" s="10">
        <v>34</v>
      </c>
      <c r="E53" s="10">
        <v>42</v>
      </c>
      <c r="F53">
        <f t="shared" si="1"/>
        <v>77</v>
      </c>
      <c r="G53" s="8">
        <f>SUM($F$2:F53)/1000</f>
        <v>4.0350000000000001</v>
      </c>
      <c r="I53" s="9"/>
      <c r="K53" s="4"/>
      <c r="L53" s="9"/>
      <c r="M53" s="9"/>
      <c r="N53" s="9"/>
      <c r="O53" s="9"/>
      <c r="P53" s="9"/>
    </row>
    <row r="54" spans="1:16" x14ac:dyDescent="0.2">
      <c r="A54" s="1">
        <v>2019</v>
      </c>
      <c r="B54" s="3" t="s">
        <v>4</v>
      </c>
      <c r="C54" s="10">
        <v>37</v>
      </c>
      <c r="D54" s="10">
        <v>0</v>
      </c>
      <c r="E54" s="10">
        <v>31</v>
      </c>
      <c r="F54">
        <f t="shared" si="1"/>
        <v>68</v>
      </c>
      <c r="G54" s="8">
        <f>SUM($F$2:F54)/1000</f>
        <v>4.1029999999999998</v>
      </c>
      <c r="I54" s="9"/>
      <c r="K54" s="4"/>
      <c r="L54" s="9"/>
      <c r="M54" s="9"/>
      <c r="N54" s="9"/>
      <c r="O54" s="9"/>
      <c r="P54" s="9"/>
    </row>
    <row r="55" spans="1:16" x14ac:dyDescent="0.2">
      <c r="A55" s="1">
        <v>2019</v>
      </c>
      <c r="B55" s="3" t="s">
        <v>5</v>
      </c>
      <c r="C55" s="10">
        <v>35</v>
      </c>
      <c r="D55" s="10">
        <v>1</v>
      </c>
      <c r="E55" s="10">
        <v>29</v>
      </c>
      <c r="F55">
        <f t="shared" si="1"/>
        <v>65</v>
      </c>
      <c r="G55" s="8">
        <f>SUM($F$2:F55)/1000</f>
        <v>4.1680000000000001</v>
      </c>
      <c r="I55" s="9"/>
      <c r="K55" s="4"/>
      <c r="L55" s="9"/>
      <c r="M55" s="9"/>
      <c r="N55" s="9"/>
      <c r="O55" s="9"/>
      <c r="P55" s="9"/>
    </row>
    <row r="56" spans="1:16" x14ac:dyDescent="0.2">
      <c r="A56" s="1">
        <v>2019</v>
      </c>
      <c r="B56" s="3" t="s">
        <v>6</v>
      </c>
      <c r="C56" s="10">
        <v>35</v>
      </c>
      <c r="D56" s="10">
        <v>25</v>
      </c>
      <c r="E56" s="10">
        <v>46</v>
      </c>
      <c r="F56">
        <f t="shared" si="1"/>
        <v>106</v>
      </c>
      <c r="G56" s="8">
        <f>SUM($F$2:F56)/1000</f>
        <v>4.274</v>
      </c>
      <c r="I56" s="9"/>
      <c r="K56" s="4"/>
      <c r="L56" s="8"/>
      <c r="M56" s="8"/>
      <c r="N56" s="8"/>
      <c r="O56" s="8"/>
      <c r="P56" s="8"/>
    </row>
    <row r="57" spans="1:16" x14ac:dyDescent="0.2">
      <c r="A57" s="1">
        <v>2019</v>
      </c>
      <c r="B57" s="3" t="s">
        <v>7</v>
      </c>
      <c r="C57" s="10">
        <v>36</v>
      </c>
      <c r="D57" s="10">
        <v>37</v>
      </c>
      <c r="E57" s="10">
        <v>36</v>
      </c>
      <c r="F57">
        <f t="shared" si="1"/>
        <v>109</v>
      </c>
      <c r="G57" s="8">
        <f>SUM($F$2:F57)/1000</f>
        <v>4.383</v>
      </c>
      <c r="I57" s="9"/>
      <c r="K57" s="4"/>
    </row>
    <row r="58" spans="1:16" x14ac:dyDescent="0.2">
      <c r="A58" s="1">
        <v>2019</v>
      </c>
      <c r="B58" s="3" t="s">
        <v>8</v>
      </c>
      <c r="C58" s="10">
        <v>36</v>
      </c>
      <c r="D58" s="10">
        <v>39</v>
      </c>
      <c r="E58" s="10">
        <v>29</v>
      </c>
      <c r="F58">
        <f t="shared" si="1"/>
        <v>104</v>
      </c>
      <c r="G58" s="8">
        <f>SUM($F$2:F58)/1000</f>
        <v>4.4870000000000001</v>
      </c>
      <c r="I58" s="9"/>
      <c r="K58" s="4"/>
    </row>
    <row r="59" spans="1:16" x14ac:dyDescent="0.2">
      <c r="A59" s="1">
        <v>2019</v>
      </c>
      <c r="B59" s="3" t="s">
        <v>9</v>
      </c>
      <c r="C59" s="10">
        <v>26</v>
      </c>
      <c r="D59" s="10">
        <v>44</v>
      </c>
      <c r="E59" s="10">
        <v>41</v>
      </c>
      <c r="F59">
        <f t="shared" si="1"/>
        <v>111</v>
      </c>
      <c r="G59" s="8">
        <f>SUM($F$2:F59)/1000</f>
        <v>4.5979999999999999</v>
      </c>
      <c r="I59" s="9"/>
      <c r="K59" s="4"/>
    </row>
    <row r="60" spans="1:16" x14ac:dyDescent="0.2">
      <c r="A60" s="1">
        <v>2019</v>
      </c>
      <c r="B60" s="3" t="s">
        <v>10</v>
      </c>
      <c r="C60" s="10">
        <v>36</v>
      </c>
      <c r="D60" s="10">
        <v>35</v>
      </c>
      <c r="E60" s="10">
        <v>37</v>
      </c>
      <c r="F60">
        <f t="shared" si="1"/>
        <v>108</v>
      </c>
      <c r="G60" s="8">
        <f>SUM($F$2:F60)/1000</f>
        <v>4.7060000000000004</v>
      </c>
      <c r="I60" s="9"/>
      <c r="K60" s="4"/>
    </row>
    <row r="61" spans="1:16" x14ac:dyDescent="0.2">
      <c r="A61" s="1">
        <v>2019</v>
      </c>
      <c r="B61" s="3" t="s">
        <v>11</v>
      </c>
      <c r="C61" s="10">
        <v>39</v>
      </c>
      <c r="D61" s="10">
        <v>28</v>
      </c>
      <c r="E61" s="10">
        <v>36</v>
      </c>
      <c r="F61">
        <f t="shared" si="1"/>
        <v>103</v>
      </c>
      <c r="G61" s="8">
        <f>SUM($F$2:F61)/1000</f>
        <v>4.8090000000000002</v>
      </c>
      <c r="I61" s="9"/>
      <c r="K61" s="4"/>
    </row>
    <row r="62" spans="1:16" x14ac:dyDescent="0.2">
      <c r="A62" s="1">
        <v>2020</v>
      </c>
      <c r="B62" s="3" t="s">
        <v>0</v>
      </c>
      <c r="C62" s="1">
        <v>25</v>
      </c>
      <c r="D62" s="1">
        <v>29</v>
      </c>
      <c r="E62" s="1">
        <v>39</v>
      </c>
      <c r="F62">
        <f t="shared" si="1"/>
        <v>93</v>
      </c>
      <c r="G62" s="8">
        <f>SUM($F$2:F62)/1000</f>
        <v>4.9020000000000001</v>
      </c>
      <c r="K62" s="4"/>
    </row>
    <row r="63" spans="1:16" x14ac:dyDescent="0.2">
      <c r="A63" s="1">
        <v>2020</v>
      </c>
      <c r="B63" s="3" t="s">
        <v>1</v>
      </c>
      <c r="C63" s="1">
        <v>30</v>
      </c>
      <c r="D63" s="1">
        <v>29</v>
      </c>
      <c r="E63" s="1">
        <v>25</v>
      </c>
      <c r="F63">
        <f t="shared" si="1"/>
        <v>84</v>
      </c>
      <c r="G63" s="8">
        <f>SUM($F$2:F63)/1000</f>
        <v>4.9859999999999998</v>
      </c>
      <c r="K63" s="4"/>
    </row>
    <row r="64" spans="1:16" x14ac:dyDescent="0.2">
      <c r="A64" s="1">
        <v>2020</v>
      </c>
      <c r="B64" s="3" t="s">
        <v>2</v>
      </c>
      <c r="C64" s="1">
        <v>37</v>
      </c>
      <c r="D64" s="1">
        <v>35</v>
      </c>
      <c r="E64" s="1">
        <v>36</v>
      </c>
      <c r="F64">
        <f t="shared" si="1"/>
        <v>108</v>
      </c>
      <c r="G64" s="8">
        <f>SUM($F$2:F64)/1000</f>
        <v>5.0940000000000003</v>
      </c>
      <c r="K64" s="4"/>
    </row>
    <row r="65" spans="1:11" x14ac:dyDescent="0.2">
      <c r="A65" s="1">
        <v>2020</v>
      </c>
      <c r="B65" s="3" t="s">
        <v>3</v>
      </c>
      <c r="C65" s="1">
        <v>20</v>
      </c>
      <c r="D65" s="1">
        <v>32</v>
      </c>
      <c r="E65" s="1">
        <v>38</v>
      </c>
      <c r="F65">
        <f t="shared" si="1"/>
        <v>90</v>
      </c>
      <c r="G65" s="8">
        <f>SUM($F$2:F65)/1000</f>
        <v>5.1840000000000002</v>
      </c>
      <c r="K65" s="4"/>
    </row>
    <row r="66" spans="1:11" x14ac:dyDescent="0.2">
      <c r="A66" s="1">
        <v>2020</v>
      </c>
      <c r="B66" s="3" t="s">
        <v>4</v>
      </c>
      <c r="C66" s="1">
        <v>36</v>
      </c>
      <c r="D66" s="1">
        <v>33</v>
      </c>
      <c r="E66" s="1">
        <v>35</v>
      </c>
      <c r="F66">
        <f t="shared" ref="F66:F97" si="2">SUM(C66:E66)</f>
        <v>104</v>
      </c>
      <c r="G66" s="8">
        <f>SUM($F$2:F66)/1000</f>
        <v>5.2880000000000003</v>
      </c>
      <c r="K66" s="4"/>
    </row>
    <row r="67" spans="1:11" x14ac:dyDescent="0.2">
      <c r="A67" s="1">
        <v>2020</v>
      </c>
      <c r="B67" s="3" t="s">
        <v>5</v>
      </c>
      <c r="C67" s="1">
        <v>35</v>
      </c>
      <c r="D67" s="1">
        <v>29</v>
      </c>
      <c r="E67" s="1">
        <v>35</v>
      </c>
      <c r="F67">
        <f t="shared" si="2"/>
        <v>99</v>
      </c>
      <c r="G67" s="8">
        <f>SUM($F$2:F67)/1000</f>
        <v>5.3869999999999996</v>
      </c>
    </row>
    <row r="68" spans="1:11" x14ac:dyDescent="0.2">
      <c r="A68" s="1">
        <v>2020</v>
      </c>
      <c r="B68" s="3" t="s">
        <v>6</v>
      </c>
      <c r="C68" s="1">
        <v>12</v>
      </c>
      <c r="D68" s="1">
        <v>20</v>
      </c>
      <c r="E68" s="1">
        <v>20</v>
      </c>
      <c r="F68">
        <f t="shared" si="2"/>
        <v>52</v>
      </c>
      <c r="G68" s="8">
        <f>SUM($F$2:F68)/1000</f>
        <v>5.4390000000000001</v>
      </c>
    </row>
    <row r="69" spans="1:11" x14ac:dyDescent="0.2">
      <c r="A69" s="1">
        <v>2020</v>
      </c>
      <c r="B69" s="3" t="s">
        <v>7</v>
      </c>
      <c r="C69" s="1">
        <v>0</v>
      </c>
      <c r="D69" s="1">
        <v>0</v>
      </c>
      <c r="E69" s="1">
        <v>0</v>
      </c>
      <c r="F69">
        <f t="shared" si="2"/>
        <v>0</v>
      </c>
      <c r="G69" s="8">
        <f>SUM($F$2:F69)/1000</f>
        <v>5.4390000000000001</v>
      </c>
    </row>
    <row r="70" spans="1:11" x14ac:dyDescent="0.2">
      <c r="A70" s="1">
        <v>2020</v>
      </c>
      <c r="B70" s="3" t="s">
        <v>8</v>
      </c>
      <c r="C70" s="1">
        <v>11</v>
      </c>
      <c r="D70" s="1">
        <v>0</v>
      </c>
      <c r="E70" s="1">
        <v>18</v>
      </c>
      <c r="F70">
        <f t="shared" si="2"/>
        <v>29</v>
      </c>
      <c r="G70" s="8">
        <f>SUM($F$2:F70)/1000</f>
        <v>5.468</v>
      </c>
    </row>
    <row r="71" spans="1:11" x14ac:dyDescent="0.2">
      <c r="A71" s="1">
        <v>2020</v>
      </c>
      <c r="B71" s="3" t="s">
        <v>9</v>
      </c>
      <c r="C71" s="1">
        <v>37</v>
      </c>
      <c r="D71" s="1">
        <v>18</v>
      </c>
      <c r="E71" s="1">
        <v>38</v>
      </c>
      <c r="F71">
        <f t="shared" si="2"/>
        <v>93</v>
      </c>
      <c r="G71" s="8">
        <f>SUM($F$2:F71)/1000</f>
        <v>5.5609999999999999</v>
      </c>
    </row>
    <row r="72" spans="1:11" x14ac:dyDescent="0.2">
      <c r="A72" s="1">
        <v>2020</v>
      </c>
      <c r="B72" s="3" t="s">
        <v>10</v>
      </c>
      <c r="C72" s="1">
        <v>26</v>
      </c>
      <c r="D72" s="1">
        <v>24</v>
      </c>
      <c r="E72" s="1">
        <v>35</v>
      </c>
      <c r="F72">
        <f t="shared" si="2"/>
        <v>85</v>
      </c>
      <c r="G72" s="8">
        <f>SUM($F$2:F72)/1000</f>
        <v>5.6459999999999999</v>
      </c>
    </row>
    <row r="73" spans="1:11" x14ac:dyDescent="0.2">
      <c r="A73" s="1">
        <v>2020</v>
      </c>
      <c r="B73" s="3" t="s">
        <v>11</v>
      </c>
      <c r="C73" s="1">
        <v>37</v>
      </c>
      <c r="D73" s="1">
        <v>30</v>
      </c>
      <c r="E73" s="1">
        <v>39</v>
      </c>
      <c r="F73">
        <f t="shared" si="2"/>
        <v>106</v>
      </c>
      <c r="G73" s="8">
        <f>SUM($F$2:F73)/1000</f>
        <v>5.7519999999999998</v>
      </c>
    </row>
    <row r="74" spans="1:11" x14ac:dyDescent="0.2">
      <c r="A74" s="3">
        <v>2021</v>
      </c>
      <c r="B74" s="3" t="s">
        <v>0</v>
      </c>
      <c r="C74" s="1">
        <v>30</v>
      </c>
      <c r="D74" s="1">
        <v>39</v>
      </c>
      <c r="E74" s="1">
        <v>36</v>
      </c>
      <c r="F74">
        <f t="shared" si="2"/>
        <v>105</v>
      </c>
      <c r="G74" s="8">
        <f>SUM($F$2:F74)/1000</f>
        <v>5.8570000000000002</v>
      </c>
    </row>
    <row r="75" spans="1:11" x14ac:dyDescent="0.2">
      <c r="A75" s="3">
        <v>2021</v>
      </c>
      <c r="B75" s="3" t="s">
        <v>1</v>
      </c>
      <c r="C75" s="1">
        <v>26</v>
      </c>
      <c r="D75" s="1">
        <v>35</v>
      </c>
      <c r="E75" s="1">
        <v>35</v>
      </c>
      <c r="F75">
        <f t="shared" si="2"/>
        <v>96</v>
      </c>
      <c r="G75" s="8">
        <f>SUM($F$2:F75)/1000</f>
        <v>5.9530000000000003</v>
      </c>
    </row>
    <row r="76" spans="1:11" x14ac:dyDescent="0.2">
      <c r="A76" s="3">
        <v>2021</v>
      </c>
      <c r="B76" s="3" t="s">
        <v>2</v>
      </c>
      <c r="C76" s="1">
        <v>25</v>
      </c>
      <c r="D76" s="1">
        <v>35</v>
      </c>
      <c r="E76" s="1">
        <v>36</v>
      </c>
      <c r="F76">
        <f t="shared" si="2"/>
        <v>96</v>
      </c>
      <c r="G76" s="8">
        <f>SUM($F$2:F76)/1000</f>
        <v>6.0490000000000004</v>
      </c>
    </row>
    <row r="77" spans="1:11" x14ac:dyDescent="0.2">
      <c r="A77" s="3">
        <v>2021</v>
      </c>
      <c r="B77" s="3" t="s">
        <v>3</v>
      </c>
      <c r="C77" s="1">
        <v>16</v>
      </c>
      <c r="D77" s="1">
        <v>8</v>
      </c>
      <c r="E77" s="1">
        <v>13</v>
      </c>
      <c r="F77">
        <f t="shared" si="2"/>
        <v>37</v>
      </c>
      <c r="G77" s="8">
        <f>SUM($F$2:F77)/1000</f>
        <v>6.0860000000000003</v>
      </c>
    </row>
    <row r="78" spans="1:11" x14ac:dyDescent="0.2">
      <c r="A78" s="3">
        <v>2021</v>
      </c>
      <c r="B78" s="3" t="s">
        <v>4</v>
      </c>
      <c r="C78" s="1">
        <v>20</v>
      </c>
      <c r="D78" s="1">
        <v>17</v>
      </c>
      <c r="E78" s="1">
        <v>21</v>
      </c>
      <c r="F78">
        <f t="shared" si="2"/>
        <v>58</v>
      </c>
      <c r="G78" s="8">
        <f>SUM($F$2:F78)/1000</f>
        <v>6.1440000000000001</v>
      </c>
    </row>
    <row r="79" spans="1:11" x14ac:dyDescent="0.2">
      <c r="A79" s="3">
        <v>2021</v>
      </c>
      <c r="B79" s="3" t="s">
        <v>5</v>
      </c>
      <c r="C79" s="1">
        <v>35</v>
      </c>
      <c r="D79" s="1">
        <v>27</v>
      </c>
      <c r="E79" s="1">
        <v>36</v>
      </c>
      <c r="F79">
        <f t="shared" si="2"/>
        <v>98</v>
      </c>
      <c r="G79" s="8">
        <f>SUM($F$2:F79)/1000</f>
        <v>6.242</v>
      </c>
    </row>
    <row r="80" spans="1:11" x14ac:dyDescent="0.2">
      <c r="A80" s="3">
        <v>2021</v>
      </c>
      <c r="B80" s="3" t="s">
        <v>6</v>
      </c>
      <c r="C80" s="1">
        <v>36</v>
      </c>
      <c r="D80" s="1">
        <v>26</v>
      </c>
      <c r="E80" s="1">
        <v>36</v>
      </c>
      <c r="F80">
        <f t="shared" si="2"/>
        <v>98</v>
      </c>
      <c r="G80" s="8">
        <f>SUM($F$2:F80)/1000</f>
        <v>6.34</v>
      </c>
    </row>
    <row r="81" spans="1:7" x14ac:dyDescent="0.2">
      <c r="A81" s="3">
        <v>2021</v>
      </c>
      <c r="B81" s="3" t="s">
        <v>7</v>
      </c>
      <c r="C81" s="1">
        <v>35</v>
      </c>
      <c r="D81" s="1">
        <v>29</v>
      </c>
      <c r="E81" s="1">
        <v>35</v>
      </c>
      <c r="F81">
        <f t="shared" si="2"/>
        <v>99</v>
      </c>
      <c r="G81" s="8">
        <f>SUM($F$2:F81)/1000</f>
        <v>6.4390000000000001</v>
      </c>
    </row>
    <row r="82" spans="1:7" x14ac:dyDescent="0.2">
      <c r="A82" s="3">
        <v>2021</v>
      </c>
      <c r="B82" s="3" t="s">
        <v>8</v>
      </c>
      <c r="C82" s="1">
        <v>32</v>
      </c>
      <c r="D82" s="1">
        <v>17</v>
      </c>
      <c r="E82" s="1">
        <v>33</v>
      </c>
      <c r="F82">
        <f t="shared" si="2"/>
        <v>82</v>
      </c>
      <c r="G82" s="8">
        <f>SUM($F$2:F82)/1000</f>
        <v>6.5209999999999999</v>
      </c>
    </row>
    <row r="83" spans="1:7" x14ac:dyDescent="0.2">
      <c r="A83" s="3">
        <v>2021</v>
      </c>
      <c r="B83" s="3" t="s">
        <v>9</v>
      </c>
      <c r="C83" s="1">
        <v>41</v>
      </c>
      <c r="D83" s="1">
        <v>15</v>
      </c>
      <c r="E83" s="1">
        <v>37</v>
      </c>
      <c r="F83">
        <f t="shared" si="2"/>
        <v>93</v>
      </c>
      <c r="G83" s="8">
        <f>SUM($F$2:F83)/1000</f>
        <v>6.6139999999999999</v>
      </c>
    </row>
    <row r="84" spans="1:7" x14ac:dyDescent="0.2">
      <c r="A84" s="3">
        <v>2021</v>
      </c>
      <c r="B84" s="3" t="s">
        <v>10</v>
      </c>
      <c r="C84" s="1">
        <v>49</v>
      </c>
      <c r="D84" s="1">
        <v>3</v>
      </c>
      <c r="E84" s="1">
        <v>47</v>
      </c>
      <c r="F84">
        <f t="shared" si="2"/>
        <v>99</v>
      </c>
      <c r="G84" s="8">
        <f>SUM($F$2:F84)/1000</f>
        <v>6.7130000000000001</v>
      </c>
    </row>
    <row r="85" spans="1:7" x14ac:dyDescent="0.2">
      <c r="A85" s="3">
        <v>2021</v>
      </c>
      <c r="B85" s="3" t="s">
        <v>11</v>
      </c>
      <c r="C85" s="1">
        <v>44</v>
      </c>
      <c r="D85" s="1">
        <v>38</v>
      </c>
      <c r="E85" s="1">
        <v>11</v>
      </c>
      <c r="F85">
        <f t="shared" si="2"/>
        <v>93</v>
      </c>
      <c r="G85" s="8">
        <f>SUM($F$2:F85)/1000</f>
        <v>6.806</v>
      </c>
    </row>
    <row r="86" spans="1:7" x14ac:dyDescent="0.2">
      <c r="A86" s="3">
        <v>2022</v>
      </c>
      <c r="B86" s="3" t="s">
        <v>0</v>
      </c>
      <c r="C86" s="1">
        <v>32</v>
      </c>
      <c r="D86" s="1">
        <v>39</v>
      </c>
      <c r="E86" s="1">
        <v>5</v>
      </c>
      <c r="F86">
        <f t="shared" si="2"/>
        <v>76</v>
      </c>
      <c r="G86" s="8">
        <f>SUM($F$2:F86)/1000</f>
        <v>6.8819999999999997</v>
      </c>
    </row>
    <row r="87" spans="1:7" x14ac:dyDescent="0.2">
      <c r="A87" s="3">
        <v>2022</v>
      </c>
      <c r="B87" s="3" t="s">
        <v>1</v>
      </c>
      <c r="C87" s="1">
        <v>0</v>
      </c>
      <c r="D87" s="1">
        <v>24</v>
      </c>
      <c r="E87" s="1">
        <v>32</v>
      </c>
      <c r="F87">
        <f t="shared" si="2"/>
        <v>56</v>
      </c>
      <c r="G87" s="8">
        <f>SUM($F$2:F87)/1000</f>
        <v>6.9379999999999997</v>
      </c>
    </row>
    <row r="88" spans="1:7" ht="17" customHeight="1" x14ac:dyDescent="0.2">
      <c r="A88" s="3">
        <v>2022</v>
      </c>
      <c r="B88" s="3" t="s">
        <v>2</v>
      </c>
      <c r="C88" s="1">
        <v>17</v>
      </c>
      <c r="D88" s="1">
        <v>34</v>
      </c>
      <c r="E88" s="1">
        <v>8</v>
      </c>
      <c r="F88">
        <f t="shared" si="2"/>
        <v>59</v>
      </c>
      <c r="G88" s="8">
        <f>SUM($F$2:F88)/1000</f>
        <v>6.9969999999999999</v>
      </c>
    </row>
    <row r="89" spans="1:7" x14ac:dyDescent="0.2">
      <c r="A89" s="3">
        <v>2022</v>
      </c>
      <c r="B89" s="3" t="s">
        <v>3</v>
      </c>
      <c r="C89" s="1">
        <v>21</v>
      </c>
      <c r="D89" s="1">
        <v>25</v>
      </c>
      <c r="E89" s="1">
        <v>12</v>
      </c>
      <c r="F89">
        <f t="shared" si="2"/>
        <v>58</v>
      </c>
      <c r="G89" s="8">
        <f>SUM($F$2:F89)/1000</f>
        <v>7.0549999999999997</v>
      </c>
    </row>
    <row r="90" spans="1:7" x14ac:dyDescent="0.2">
      <c r="A90" s="3">
        <v>2022</v>
      </c>
      <c r="B90" s="3" t="s">
        <v>4</v>
      </c>
      <c r="C90" s="1">
        <v>16</v>
      </c>
      <c r="D90" s="1">
        <v>37</v>
      </c>
      <c r="E90" s="1">
        <v>6</v>
      </c>
      <c r="F90">
        <f t="shared" si="2"/>
        <v>59</v>
      </c>
      <c r="G90" s="8">
        <f>SUM($F$2:F90)/1000</f>
        <v>7.1139999999999999</v>
      </c>
    </row>
    <row r="91" spans="1:7" x14ac:dyDescent="0.2">
      <c r="A91" s="3">
        <v>2022</v>
      </c>
      <c r="B91" s="3" t="s">
        <v>5</v>
      </c>
      <c r="C91" s="1">
        <v>30</v>
      </c>
      <c r="D91" s="1">
        <v>37</v>
      </c>
      <c r="E91" s="1">
        <v>21</v>
      </c>
      <c r="F91">
        <f t="shared" si="2"/>
        <v>88</v>
      </c>
      <c r="G91" s="8">
        <f>SUM($F$2:F91)/1000</f>
        <v>7.202</v>
      </c>
    </row>
    <row r="92" spans="1:7" x14ac:dyDescent="0.2">
      <c r="A92" s="3">
        <v>2022</v>
      </c>
      <c r="B92" s="3" t="s">
        <v>6</v>
      </c>
      <c r="C92" s="1">
        <v>30</v>
      </c>
      <c r="D92" s="1">
        <v>37</v>
      </c>
      <c r="E92" s="1">
        <v>32</v>
      </c>
      <c r="F92">
        <f t="shared" si="2"/>
        <v>99</v>
      </c>
      <c r="G92" s="8">
        <f>SUM($F$2:F92)/1000</f>
        <v>7.3010000000000002</v>
      </c>
    </row>
    <row r="93" spans="1:7" x14ac:dyDescent="0.2">
      <c r="A93" s="3">
        <v>2022</v>
      </c>
      <c r="B93" s="3" t="s">
        <v>7</v>
      </c>
      <c r="C93" s="1">
        <v>31</v>
      </c>
      <c r="D93" s="1">
        <v>37</v>
      </c>
      <c r="E93" s="1">
        <v>34</v>
      </c>
      <c r="F93">
        <f t="shared" si="2"/>
        <v>102</v>
      </c>
      <c r="G93" s="8">
        <f>SUM($F$2:F93)/1000</f>
        <v>7.4029999999999996</v>
      </c>
    </row>
    <row r="94" spans="1:7" ht="17" customHeight="1" x14ac:dyDescent="0.2">
      <c r="A94" s="3">
        <v>2022</v>
      </c>
      <c r="B94" s="3" t="s">
        <v>8</v>
      </c>
      <c r="C94" s="1">
        <v>22</v>
      </c>
      <c r="D94" s="1">
        <v>33</v>
      </c>
      <c r="E94" s="1">
        <v>42</v>
      </c>
      <c r="F94">
        <f t="shared" si="2"/>
        <v>97</v>
      </c>
      <c r="G94" s="8">
        <f>SUM($F$2:F94)/1000</f>
        <v>7.5</v>
      </c>
    </row>
    <row r="95" spans="1:7" x14ac:dyDescent="0.2">
      <c r="A95" s="3">
        <v>2022</v>
      </c>
      <c r="B95" s="3" t="s">
        <v>9</v>
      </c>
      <c r="C95" s="1">
        <v>34</v>
      </c>
      <c r="D95" s="1">
        <v>31</v>
      </c>
      <c r="E95" s="1">
        <v>33</v>
      </c>
      <c r="F95">
        <f t="shared" si="2"/>
        <v>98</v>
      </c>
      <c r="G95" s="8">
        <f>SUM($F$2:F95)/1000</f>
        <v>7.5979999999999999</v>
      </c>
    </row>
    <row r="96" spans="1:7" x14ac:dyDescent="0.2">
      <c r="A96" s="3">
        <v>2022</v>
      </c>
      <c r="B96" s="3" t="s">
        <v>10</v>
      </c>
      <c r="C96" s="1">
        <v>31</v>
      </c>
      <c r="D96" s="1">
        <v>21</v>
      </c>
      <c r="E96" s="1">
        <v>38</v>
      </c>
      <c r="F96">
        <f t="shared" si="2"/>
        <v>90</v>
      </c>
      <c r="G96" s="8">
        <f>SUM($F$2:F96)/1000</f>
        <v>7.6879999999999997</v>
      </c>
    </row>
    <row r="97" spans="1:9" x14ac:dyDescent="0.2">
      <c r="A97" s="3">
        <v>2022</v>
      </c>
      <c r="B97" s="3" t="s">
        <v>11</v>
      </c>
      <c r="C97" s="1">
        <v>30</v>
      </c>
      <c r="D97" s="1">
        <v>23</v>
      </c>
      <c r="E97" s="1">
        <v>39</v>
      </c>
      <c r="F97">
        <f t="shared" si="2"/>
        <v>92</v>
      </c>
      <c r="G97" s="8">
        <f>SUM($F$2:F97)/1000</f>
        <v>7.78</v>
      </c>
    </row>
    <row r="98" spans="1:9" x14ac:dyDescent="0.2">
      <c r="A98" s="3">
        <v>2023</v>
      </c>
      <c r="B98" s="3" t="s">
        <v>0</v>
      </c>
      <c r="C98" s="10">
        <v>36</v>
      </c>
      <c r="D98" s="10">
        <v>24</v>
      </c>
      <c r="E98" s="10">
        <v>36</v>
      </c>
      <c r="F98">
        <f t="shared" ref="F98:F121" si="3">SUM(C98:E98)</f>
        <v>96</v>
      </c>
      <c r="G98" s="8">
        <f>SUM($F$2:F98)/1000</f>
        <v>7.8760000000000003</v>
      </c>
      <c r="I98" s="11"/>
    </row>
    <row r="99" spans="1:9" x14ac:dyDescent="0.2">
      <c r="A99" s="3">
        <v>2023</v>
      </c>
      <c r="B99" s="3" t="s">
        <v>1</v>
      </c>
      <c r="C99" s="10">
        <v>31</v>
      </c>
      <c r="D99" s="10">
        <v>27</v>
      </c>
      <c r="E99" s="10">
        <v>32</v>
      </c>
      <c r="F99">
        <f t="shared" si="3"/>
        <v>90</v>
      </c>
      <c r="G99" s="8">
        <f>SUM($F$2:F99)/1000</f>
        <v>7.9660000000000002</v>
      </c>
      <c r="I99" s="11"/>
    </row>
    <row r="100" spans="1:9" x14ac:dyDescent="0.2">
      <c r="A100" s="3">
        <v>2023</v>
      </c>
      <c r="B100" s="3" t="s">
        <v>2</v>
      </c>
      <c r="C100" s="10">
        <v>37</v>
      </c>
      <c r="D100" s="10">
        <v>22</v>
      </c>
      <c r="E100" s="10">
        <v>36</v>
      </c>
      <c r="F100">
        <f t="shared" si="3"/>
        <v>95</v>
      </c>
      <c r="G100" s="8">
        <f>SUM($F$2:F100)/1000</f>
        <v>8.0609999999999999</v>
      </c>
      <c r="I100" s="11"/>
    </row>
    <row r="101" spans="1:9" x14ac:dyDescent="0.2">
      <c r="A101" s="3">
        <v>2023</v>
      </c>
      <c r="B101" s="3" t="s">
        <v>3</v>
      </c>
      <c r="C101" s="10">
        <v>32</v>
      </c>
      <c r="D101" s="10">
        <v>21</v>
      </c>
      <c r="E101" s="10">
        <v>5</v>
      </c>
      <c r="F101">
        <f t="shared" si="3"/>
        <v>58</v>
      </c>
      <c r="G101" s="8">
        <f>SUM($F$2:F101)/1000</f>
        <v>8.1189999999999998</v>
      </c>
      <c r="I101" s="11"/>
    </row>
    <row r="102" spans="1:9" x14ac:dyDescent="0.2">
      <c r="A102" s="3">
        <v>2023</v>
      </c>
      <c r="B102" s="3" t="s">
        <v>4</v>
      </c>
      <c r="C102" s="10">
        <v>30</v>
      </c>
      <c r="D102" s="10">
        <v>31</v>
      </c>
      <c r="E102" s="10">
        <v>8</v>
      </c>
      <c r="F102">
        <f t="shared" si="3"/>
        <v>69</v>
      </c>
      <c r="G102" s="8">
        <f>SUM($F$2:F102)/1000</f>
        <v>8.1880000000000006</v>
      </c>
      <c r="I102" s="11"/>
    </row>
    <row r="103" spans="1:9" x14ac:dyDescent="0.2">
      <c r="A103" s="3">
        <v>2023</v>
      </c>
      <c r="B103" s="3" t="s">
        <v>5</v>
      </c>
      <c r="C103" s="10">
        <v>28</v>
      </c>
      <c r="D103" s="10">
        <v>34</v>
      </c>
      <c r="E103" s="10">
        <v>10</v>
      </c>
      <c r="F103">
        <f t="shared" si="3"/>
        <v>72</v>
      </c>
      <c r="G103" s="8">
        <f>SUM($F$2:F103)/1000</f>
        <v>8.26</v>
      </c>
      <c r="I103" s="11"/>
    </row>
    <row r="104" spans="1:9" x14ac:dyDescent="0.2">
      <c r="A104" s="3">
        <v>2023</v>
      </c>
      <c r="B104" s="3" t="s">
        <v>6</v>
      </c>
      <c r="C104" s="10">
        <v>27</v>
      </c>
      <c r="D104" s="10">
        <v>31</v>
      </c>
      <c r="E104" s="10">
        <v>35</v>
      </c>
      <c r="F104">
        <f t="shared" si="3"/>
        <v>93</v>
      </c>
      <c r="G104" s="8">
        <f>SUM($F$2:F104)/1000</f>
        <v>8.3529999999999998</v>
      </c>
      <c r="I104" s="11"/>
    </row>
    <row r="105" spans="1:9" x14ac:dyDescent="0.2">
      <c r="A105" s="3">
        <v>2023</v>
      </c>
      <c r="B105" s="3" t="s">
        <v>7</v>
      </c>
      <c r="C105" s="10">
        <v>30</v>
      </c>
      <c r="D105" s="10">
        <v>16</v>
      </c>
      <c r="E105" s="10">
        <v>33</v>
      </c>
      <c r="F105">
        <f t="shared" si="3"/>
        <v>79</v>
      </c>
      <c r="G105" s="8">
        <f>SUM($F$2:F105)/1000</f>
        <v>8.4320000000000004</v>
      </c>
      <c r="I105" s="11"/>
    </row>
    <row r="106" spans="1:9" x14ac:dyDescent="0.2">
      <c r="A106" s="3">
        <v>2023</v>
      </c>
      <c r="B106" s="3" t="s">
        <v>8</v>
      </c>
      <c r="C106" s="10">
        <v>36</v>
      </c>
      <c r="D106" s="10">
        <v>25</v>
      </c>
      <c r="E106" s="10">
        <v>36</v>
      </c>
      <c r="F106">
        <f t="shared" si="3"/>
        <v>97</v>
      </c>
      <c r="G106" s="8">
        <f>SUM($F$2:F106)/1000</f>
        <v>8.5289999999999999</v>
      </c>
      <c r="I106" s="11"/>
    </row>
    <row r="107" spans="1:9" x14ac:dyDescent="0.2">
      <c r="A107" s="3">
        <v>2023</v>
      </c>
      <c r="B107" s="3" t="s">
        <v>9</v>
      </c>
      <c r="C107" s="10">
        <v>21</v>
      </c>
      <c r="D107" s="10">
        <v>18</v>
      </c>
      <c r="E107" s="10">
        <v>22</v>
      </c>
      <c r="F107">
        <f t="shared" si="3"/>
        <v>61</v>
      </c>
      <c r="G107" s="8">
        <f>SUM($F$2:F107)/1000</f>
        <v>8.59</v>
      </c>
      <c r="I107" s="11"/>
    </row>
    <row r="108" spans="1:9" x14ac:dyDescent="0.2">
      <c r="A108" s="3">
        <v>2023</v>
      </c>
      <c r="B108" s="3" t="s">
        <v>10</v>
      </c>
      <c r="C108" s="10">
        <v>32</v>
      </c>
      <c r="D108" s="10">
        <v>24</v>
      </c>
      <c r="E108" s="10">
        <v>32</v>
      </c>
      <c r="F108">
        <f t="shared" si="3"/>
        <v>88</v>
      </c>
      <c r="G108" s="8">
        <f>SUM($F$2:F108)/1000</f>
        <v>8.6780000000000008</v>
      </c>
      <c r="I108" s="11"/>
    </row>
    <row r="109" spans="1:9" x14ac:dyDescent="0.2">
      <c r="A109" s="3">
        <v>2023</v>
      </c>
      <c r="B109" s="3" t="s">
        <v>11</v>
      </c>
      <c r="C109" s="10">
        <v>39</v>
      </c>
      <c r="D109" s="10">
        <v>30</v>
      </c>
      <c r="E109" s="10">
        <v>36</v>
      </c>
      <c r="F109">
        <f t="shared" si="3"/>
        <v>105</v>
      </c>
      <c r="G109" s="8">
        <f>SUM($F$2:F109)/1000</f>
        <v>8.7829999999999995</v>
      </c>
      <c r="I109" s="11"/>
    </row>
    <row r="110" spans="1:9" x14ac:dyDescent="0.2">
      <c r="A110" s="3">
        <v>2024</v>
      </c>
      <c r="B110" s="3" t="s">
        <v>0</v>
      </c>
      <c r="C110" s="3">
        <v>37</v>
      </c>
      <c r="D110" s="3">
        <v>25</v>
      </c>
      <c r="E110" s="3">
        <v>38</v>
      </c>
      <c r="F110">
        <f t="shared" si="3"/>
        <v>100</v>
      </c>
      <c r="G110" s="8">
        <f>SUM($F$2:F110)/1000</f>
        <v>8.8829999999999991</v>
      </c>
      <c r="I110" s="7"/>
    </row>
    <row r="111" spans="1:9" x14ac:dyDescent="0.2">
      <c r="A111" s="3">
        <v>2024</v>
      </c>
      <c r="B111" s="3" t="s">
        <v>1</v>
      </c>
      <c r="C111" s="3">
        <v>38</v>
      </c>
      <c r="D111" s="3">
        <v>27</v>
      </c>
      <c r="E111" s="3">
        <v>31</v>
      </c>
      <c r="F111">
        <f t="shared" si="3"/>
        <v>96</v>
      </c>
      <c r="G111" s="8">
        <f>SUM($F$2:F111)/1000</f>
        <v>8.9789999999999992</v>
      </c>
      <c r="I111" s="7"/>
    </row>
    <row r="112" spans="1:9" x14ac:dyDescent="0.2">
      <c r="A112" s="3">
        <v>2024</v>
      </c>
      <c r="B112" s="3" t="s">
        <v>2</v>
      </c>
      <c r="C112" s="3">
        <v>31</v>
      </c>
      <c r="D112" s="3">
        <v>17</v>
      </c>
      <c r="E112" s="3">
        <v>31</v>
      </c>
      <c r="F112">
        <f t="shared" si="3"/>
        <v>79</v>
      </c>
      <c r="G112" s="8">
        <f>SUM($F$2:F112)/1000</f>
        <v>9.0579999999999998</v>
      </c>
      <c r="I112" s="7"/>
    </row>
    <row r="113" spans="1:9" x14ac:dyDescent="0.2">
      <c r="A113" s="3">
        <v>2024</v>
      </c>
      <c r="B113" s="3" t="s">
        <v>3</v>
      </c>
      <c r="C113" s="3">
        <v>28</v>
      </c>
      <c r="D113" s="3">
        <v>34</v>
      </c>
      <c r="E113" s="3">
        <v>38</v>
      </c>
      <c r="F113">
        <f t="shared" si="3"/>
        <v>100</v>
      </c>
      <c r="G113" s="8">
        <f>SUM($F$2:F113)/1000</f>
        <v>9.1579999999999995</v>
      </c>
      <c r="I113" s="7"/>
    </row>
    <row r="114" spans="1:9" x14ac:dyDescent="0.2">
      <c r="A114" s="3">
        <v>2024</v>
      </c>
      <c r="B114" s="3" t="s">
        <v>4</v>
      </c>
      <c r="C114" s="3">
        <v>38</v>
      </c>
      <c r="D114" s="3">
        <v>34</v>
      </c>
      <c r="E114" s="3">
        <v>32</v>
      </c>
      <c r="F114">
        <f t="shared" si="3"/>
        <v>104</v>
      </c>
      <c r="G114" s="8">
        <f>SUM($F$2:F114)/1000</f>
        <v>9.2620000000000005</v>
      </c>
      <c r="I114" s="7"/>
    </row>
    <row r="115" spans="1:9" x14ac:dyDescent="0.2">
      <c r="A115" s="3">
        <v>2024</v>
      </c>
      <c r="B115" s="3" t="s">
        <v>5</v>
      </c>
      <c r="C115" s="3">
        <v>26</v>
      </c>
      <c r="D115" s="3">
        <v>4</v>
      </c>
      <c r="E115" s="3">
        <v>26</v>
      </c>
      <c r="F115">
        <f t="shared" si="3"/>
        <v>56</v>
      </c>
      <c r="G115" s="8">
        <f>SUM($F$2:F115)/1000</f>
        <v>9.3179999999999996</v>
      </c>
      <c r="I115" s="7"/>
    </row>
    <row r="116" spans="1:9" x14ac:dyDescent="0.2">
      <c r="A116" s="3">
        <v>2024</v>
      </c>
      <c r="B116" s="3" t="s">
        <v>6</v>
      </c>
      <c r="C116" s="3">
        <v>35</v>
      </c>
      <c r="D116" s="3">
        <v>21</v>
      </c>
      <c r="E116" s="3">
        <v>36</v>
      </c>
      <c r="F116">
        <f t="shared" si="3"/>
        <v>92</v>
      </c>
      <c r="G116" s="8">
        <f>SUM($F$2:F116)/1000</f>
        <v>9.41</v>
      </c>
      <c r="I116" s="7"/>
    </row>
    <row r="117" spans="1:9" x14ac:dyDescent="0.2">
      <c r="A117" s="3">
        <v>2024</v>
      </c>
      <c r="B117" s="3" t="s">
        <v>7</v>
      </c>
      <c r="C117" s="3">
        <v>35</v>
      </c>
      <c r="D117" s="3">
        <v>28</v>
      </c>
      <c r="E117" s="3">
        <v>35</v>
      </c>
      <c r="F117">
        <f t="shared" si="3"/>
        <v>98</v>
      </c>
      <c r="G117" s="8">
        <f>SUM($F$2:F117)/1000</f>
        <v>9.5079999999999991</v>
      </c>
      <c r="I117" s="7"/>
    </row>
    <row r="118" spans="1:9" x14ac:dyDescent="0.2">
      <c r="A118" s="3">
        <v>2024</v>
      </c>
      <c r="B118" s="3" t="s">
        <v>8</v>
      </c>
      <c r="C118" s="3">
        <v>32</v>
      </c>
      <c r="D118" s="3">
        <v>21</v>
      </c>
      <c r="E118" s="3">
        <v>18</v>
      </c>
      <c r="F118">
        <f t="shared" si="3"/>
        <v>71</v>
      </c>
      <c r="G118" s="8">
        <f>SUM($F$2:F118)/1000</f>
        <v>9.5790000000000006</v>
      </c>
      <c r="I118" s="7"/>
    </row>
    <row r="119" spans="1:9" x14ac:dyDescent="0.2">
      <c r="A119" s="3">
        <v>2024</v>
      </c>
      <c r="B119" s="3" t="s">
        <v>9</v>
      </c>
      <c r="C119" s="3">
        <v>33</v>
      </c>
      <c r="D119" s="3">
        <v>26</v>
      </c>
      <c r="E119" s="3">
        <v>14</v>
      </c>
      <c r="F119">
        <f t="shared" si="3"/>
        <v>73</v>
      </c>
      <c r="G119" s="8">
        <f>SUM($F$2:F119)/1000</f>
        <v>9.6519999999999992</v>
      </c>
      <c r="I119" s="7"/>
    </row>
    <row r="120" spans="1:9" x14ac:dyDescent="0.2">
      <c r="A120" s="3">
        <v>2024</v>
      </c>
      <c r="B120" s="3" t="s">
        <v>10</v>
      </c>
      <c r="C120" s="3">
        <v>25</v>
      </c>
      <c r="D120" s="3">
        <v>21</v>
      </c>
      <c r="E120" s="3">
        <v>28</v>
      </c>
      <c r="F120">
        <f t="shared" si="3"/>
        <v>74</v>
      </c>
      <c r="G120" s="8">
        <f>SUM($F$2:F120)/1000</f>
        <v>9.7260000000000009</v>
      </c>
      <c r="I120" s="7"/>
    </row>
    <row r="121" spans="1:9" x14ac:dyDescent="0.2">
      <c r="A121" s="3">
        <v>2024</v>
      </c>
      <c r="B121" s="3" t="s">
        <v>11</v>
      </c>
      <c r="C121" s="3">
        <v>22</v>
      </c>
      <c r="D121" s="3">
        <v>35</v>
      </c>
      <c r="E121" s="3">
        <v>36</v>
      </c>
      <c r="F121">
        <f t="shared" si="3"/>
        <v>93</v>
      </c>
      <c r="G121" s="8">
        <f>SUM($F$2:F121)/1000</f>
        <v>9.8190000000000008</v>
      </c>
      <c r="I12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Schultz  Ryan</dc:creator>
  <cp:lastModifiedBy>Schultz  Ryan</cp:lastModifiedBy>
  <dcterms:created xsi:type="dcterms:W3CDTF">2026-04-02T09:56:10Z</dcterms:created>
  <dcterms:modified xsi:type="dcterms:W3CDTF">2026-04-24T06:53:20Z</dcterms:modified>
</cp:coreProperties>
</file>